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eduardo\projects\"/>
    </mc:Choice>
  </mc:AlternateContent>
  <xr:revisionPtr revIDLastSave="0" documentId="13_ncr:1_{9F84484F-3FCA-4D85-93FF-95ECD5A96219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Painel_Principal" sheetId="1" r:id="rId1"/>
    <sheet name="Template_PDF" sheetId="7" r:id="rId2"/>
    <sheet name="Clientes" sheetId="2" r:id="rId3"/>
    <sheet name="Veiculos" sheetId="3" r:id="rId4"/>
    <sheet name="Servicos" sheetId="4" r:id="rId5"/>
    <sheet name="ItensServico" sheetId="5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7" l="1"/>
  <c r="C15" i="7"/>
  <c r="C16" i="7"/>
  <c r="C17" i="7"/>
  <c r="C18" i="7"/>
  <c r="C19" i="7"/>
  <c r="C20" i="7"/>
  <c r="C21" i="7"/>
  <c r="C22" i="7"/>
  <c r="C13" i="7"/>
  <c r="B16" i="7"/>
  <c r="B17" i="7"/>
  <c r="B18" i="7"/>
  <c r="B19" i="7"/>
  <c r="B20" i="7"/>
  <c r="B21" i="7"/>
  <c r="B22" i="7"/>
  <c r="B15" i="7"/>
  <c r="B14" i="7"/>
  <c r="B13" i="7"/>
  <c r="C10" i="7"/>
  <c r="C7" i="7"/>
  <c r="C6" i="7"/>
  <c r="C5" i="7"/>
  <c r="G6" i="1"/>
  <c r="G25" i="1"/>
  <c r="G10" i="1"/>
  <c r="C9" i="7" s="1"/>
  <c r="G9" i="1"/>
  <c r="C8" i="7" s="1"/>
  <c r="C24" i="7" l="1"/>
</calcChain>
</file>

<file path=xl/sharedStrings.xml><?xml version="1.0" encoding="utf-8"?>
<sst xmlns="http://schemas.openxmlformats.org/spreadsheetml/2006/main" count="55" uniqueCount="41">
  <si>
    <t>ID</t>
  </si>
  <si>
    <t>Nome</t>
  </si>
  <si>
    <t>Matricula</t>
  </si>
  <si>
    <t>Nome_Cliente</t>
  </si>
  <si>
    <t>Marca</t>
  </si>
  <si>
    <t>Modelo</t>
  </si>
  <si>
    <t>ID_Servico</t>
  </si>
  <si>
    <t>Data</t>
  </si>
  <si>
    <t>Quilometragem</t>
  </si>
  <si>
    <t>Custo_Total</t>
  </si>
  <si>
    <t>ID_Item</t>
  </si>
  <si>
    <t>Descricao</t>
  </si>
  <si>
    <t>Preco</t>
  </si>
  <si>
    <t>GESTAO DE OFICINA MECANICA</t>
  </si>
  <si>
    <t>1. ADICIONAR CLIENTE</t>
  </si>
  <si>
    <t>Nome do Cliente:</t>
  </si>
  <si>
    <t>2. ADICIONAR VEICULO</t>
  </si>
  <si>
    <t>Selecionar Cliente:</t>
  </si>
  <si>
    <t>Matricula:</t>
  </si>
  <si>
    <t>Marca:</t>
  </si>
  <si>
    <t>Modelo:</t>
  </si>
  <si>
    <t>3. REGISTAR ORDEM DE SERVICO</t>
  </si>
  <si>
    <t>Data:</t>
  </si>
  <si>
    <t>Nº do Servico (ID):</t>
  </si>
  <si>
    <t>Cliente:</t>
  </si>
  <si>
    <t>Veiculo (Matricula):</t>
  </si>
  <si>
    <t>Quilometragem:</t>
  </si>
  <si>
    <t>ITENS DO SERVICO</t>
  </si>
  <si>
    <t>CUSTO TOTAL:</t>
  </si>
  <si>
    <t>ORDEM DE SERVIÇO</t>
  </si>
  <si>
    <t>Matrícula:</t>
  </si>
  <si>
    <t>Kilometragem:</t>
  </si>
  <si>
    <t>Descrição da Operação</t>
  </si>
  <si>
    <t>Custo</t>
  </si>
  <si>
    <t>TOTAL:</t>
  </si>
  <si>
    <t>Eduardo Fernandes</t>
  </si>
  <si>
    <t>71-33-IV</t>
  </si>
  <si>
    <t>Renaut</t>
  </si>
  <si>
    <t>Clio</t>
  </si>
  <si>
    <t>tubo de injeção</t>
  </si>
  <si>
    <t>mão de obra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</si>
</sst>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816]d\ &quot;de&quot;\ mmmm\ &quot;de&quot;\ yyyy;@"/>
    <numFmt numFmtId="165" formatCode="_-* #,##0.00\ [$€-816]_-;\-* #,##0.00\ [$€-816]_-;_-* &quot;-&quot;??\ [$€-816]_-;_-@_-"/>
    <numFmt numFmtId="166" formatCode="#,##0.00\ \€"/>
  </numFmts>
  <fonts count="7" x14ac:knownFonts="1">
    <font>
      <sz val="11"/>
      <color theme="1"/>
      <name val="Calibri"/>
      <family val="2"/>
      <scheme val="minor"/>
    </font>
    <font>
      <b/>
      <sz val="14"/>
      <color rgb="FF1F4E7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b/>
      <sz val="12"/>
      <color theme="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1F4E78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0" fontId="2" fillId="3" borderId="1" xfId="0" applyFont="1" applyFill="1" applyBorder="1"/>
    <xf numFmtId="14" fontId="0" fillId="0" borderId="0" xfId="0" applyNumberFormat="1"/>
    <xf numFmtId="164" fontId="0" fillId="2" borderId="1" xfId="0" applyNumberFormat="1" applyFill="1" applyBorder="1"/>
    <xf numFmtId="165" fontId="0" fillId="2" borderId="1" xfId="0" applyNumberFormat="1" applyFill="1" applyBorder="1"/>
    <xf numFmtId="165" fontId="2" fillId="3" borderId="1" xfId="0" applyNumberFormat="1" applyFont="1" applyFill="1" applyBorder="1"/>
    <xf numFmtId="3" fontId="0" fillId="2" borderId="1" xfId="0" applyNumberFormat="1" applyFill="1" applyBorder="1"/>
    <xf numFmtId="0" fontId="2" fillId="2" borderId="3" xfId="0" applyFont="1" applyFill="1" applyBorder="1" applyAlignment="1">
      <alignment horizontal="center"/>
    </xf>
    <xf numFmtId="0" fontId="5" fillId="0" borderId="3" xfId="0" applyFont="1" applyBorder="1"/>
    <xf numFmtId="0" fontId="6" fillId="0" borderId="0" xfId="0" applyFont="1" applyAlignment="1">
      <alignment horizontal="right"/>
    </xf>
    <xf numFmtId="166" fontId="6" fillId="2" borderId="0" xfId="0" applyNumberFormat="1" applyFont="1" applyFill="1"/>
    <xf numFmtId="166" fontId="5" fillId="0" borderId="3" xfId="0" applyNumberFormat="1" applyFont="1" applyBorder="1"/>
    <xf numFmtId="0" fontId="3" fillId="4" borderId="0" xfId="0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5" fillId="0" borderId="2" xfId="0" applyFont="1" applyBorder="1" applyAlignment="1">
      <alignment horizontal="right"/>
    </xf>
    <xf numFmtId="164" fontId="5" fillId="0" borderId="2" xfId="0" applyNumberFormat="1" applyFont="1" applyBorder="1" applyAlignment="1">
      <alignment horizontal="right"/>
    </xf>
    <xf numFmtId="3" fontId="5" fillId="0" borderId="2" xfId="0" applyNumberFormat="1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1600199</xdr:colOff>
      <xdr:row>13</xdr:row>
      <xdr:rowOff>4763</xdr:rowOff>
    </xdr:from>
    <xdr:to>
      <xdr:col>2</xdr:col>
      <xdr:colOff>1071561</xdr:colOff>
      <xdr:row>14</xdr:row>
      <xdr:rowOff>71438</xdr:rowOff>
    </xdr:to>
    <xdr:sp macro="[0]!AdicionarCliente" textlink="">
      <xdr:nvSpPr>
        <xdr:cNvPr id="2" name="Rectangle 1">
          <a:extLst>
            <a:ext uri="{FF2B5EF4-FFF2-40B4-BE49-F238E27FC236}">
              <a16:creationId xmlns:a16="http://schemas.microsoft.com/office/drawing/2014/main" id="{B6ADAA7C-6198-531B-4213-4BE6DB7053A5}"/>
            </a:ext>
          </a:extLst>
        </xdr:cNvPr>
        <xdr:cNvSpPr/>
      </xdr:nvSpPr>
      <xdr:spPr>
        <a:xfrm>
          <a:off x="2247899" y="2405063"/>
          <a:ext cx="1309687" cy="24765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 b="1"/>
            <a:t>Adicionar Cliente</a:t>
          </a:r>
        </a:p>
      </xdr:txBody>
    </xdr:sp>
    <xdr:clientData/>
  </xdr:twoCellAnchor>
  <xdr:twoCellAnchor>
    <xdr:from>
      <xdr:col>2</xdr:col>
      <xdr:colOff>1252539</xdr:colOff>
      <xdr:row>13</xdr:row>
      <xdr:rowOff>9526</xdr:rowOff>
    </xdr:from>
    <xdr:to>
      <xdr:col>2</xdr:col>
      <xdr:colOff>2543176</xdr:colOff>
      <xdr:row>14</xdr:row>
      <xdr:rowOff>76201</xdr:rowOff>
    </xdr:to>
    <xdr:sp macro="[0]!AdicionarVeiculo" textlink="">
      <xdr:nvSpPr>
        <xdr:cNvPr id="3" name="Rectangle 2">
          <a:extLst>
            <a:ext uri="{FF2B5EF4-FFF2-40B4-BE49-F238E27FC236}">
              <a16:creationId xmlns:a16="http://schemas.microsoft.com/office/drawing/2014/main" id="{5D27900E-A915-002A-E50F-85812A35CED5}"/>
            </a:ext>
          </a:extLst>
        </xdr:cNvPr>
        <xdr:cNvSpPr/>
      </xdr:nvSpPr>
      <xdr:spPr>
        <a:xfrm>
          <a:off x="3738564" y="2409826"/>
          <a:ext cx="1290637" cy="24765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 b="1"/>
            <a:t>Registar Veículo</a:t>
          </a:r>
        </a:p>
      </xdr:txBody>
    </xdr:sp>
    <xdr:clientData/>
  </xdr:twoCellAnchor>
  <xdr:twoCellAnchor>
    <xdr:from>
      <xdr:col>5</xdr:col>
      <xdr:colOff>1909764</xdr:colOff>
      <xdr:row>26</xdr:row>
      <xdr:rowOff>9525</xdr:rowOff>
    </xdr:from>
    <xdr:to>
      <xdr:col>6</xdr:col>
      <xdr:colOff>695326</xdr:colOff>
      <xdr:row>27</xdr:row>
      <xdr:rowOff>76200</xdr:rowOff>
    </xdr:to>
    <xdr:sp macro="[0]!RegistarServico" textlink="">
      <xdr:nvSpPr>
        <xdr:cNvPr id="4" name="Rectangle 3">
          <a:extLst>
            <a:ext uri="{FF2B5EF4-FFF2-40B4-BE49-F238E27FC236}">
              <a16:creationId xmlns:a16="http://schemas.microsoft.com/office/drawing/2014/main" id="{A1914975-27B9-7493-C77F-B97EB1512AFC}"/>
            </a:ext>
          </a:extLst>
        </xdr:cNvPr>
        <xdr:cNvSpPr/>
      </xdr:nvSpPr>
      <xdr:spPr>
        <a:xfrm>
          <a:off x="8243889" y="4762500"/>
          <a:ext cx="1123950" cy="2476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 b="1"/>
            <a:t>Registar Serviço</a:t>
          </a:r>
        </a:p>
      </xdr:txBody>
    </xdr:sp>
    <xdr:clientData/>
  </xdr:twoCellAnchor>
  <xdr:twoCellAnchor>
    <xdr:from>
      <xdr:col>6</xdr:col>
      <xdr:colOff>1009651</xdr:colOff>
      <xdr:row>39</xdr:row>
      <xdr:rowOff>90488</xdr:rowOff>
    </xdr:from>
    <xdr:to>
      <xdr:col>6</xdr:col>
      <xdr:colOff>2133601</xdr:colOff>
      <xdr:row>40</xdr:row>
      <xdr:rowOff>157163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E653D46-1890-27B2-3888-F28B6BF60618}"/>
            </a:ext>
          </a:extLst>
        </xdr:cNvPr>
        <xdr:cNvSpPr/>
      </xdr:nvSpPr>
      <xdr:spPr>
        <a:xfrm>
          <a:off x="9182101" y="7196138"/>
          <a:ext cx="11239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6</xdr:col>
      <xdr:colOff>952501</xdr:colOff>
      <xdr:row>26</xdr:row>
      <xdr:rowOff>14288</xdr:rowOff>
    </xdr:from>
    <xdr:to>
      <xdr:col>6</xdr:col>
      <xdr:colOff>2076451</xdr:colOff>
      <xdr:row>27</xdr:row>
      <xdr:rowOff>80963</xdr:rowOff>
    </xdr:to>
    <xdr:sp macro="[0]!LimparCamposServico" textlink="">
      <xdr:nvSpPr>
        <xdr:cNvPr id="6" name="Rectangle 5">
          <a:extLst>
            <a:ext uri="{FF2B5EF4-FFF2-40B4-BE49-F238E27FC236}">
              <a16:creationId xmlns:a16="http://schemas.microsoft.com/office/drawing/2014/main" id="{3C1AB1F5-4D44-8F27-8671-336F57535C85}"/>
            </a:ext>
          </a:extLst>
        </xdr:cNvPr>
        <xdr:cNvSpPr/>
      </xdr:nvSpPr>
      <xdr:spPr>
        <a:xfrm>
          <a:off x="9625014" y="4767263"/>
          <a:ext cx="1123950" cy="24765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 b="1"/>
            <a:t>Cancelar</a:t>
          </a:r>
        </a:p>
      </xdr:txBody>
    </xdr:sp>
    <xdr:clientData/>
  </xdr:twoCellAnchor>
  <xdr:twoCellAnchor>
    <xdr:from>
      <xdr:col>2</xdr:col>
      <xdr:colOff>1195387</xdr:colOff>
      <xdr:row>21</xdr:row>
      <xdr:rowOff>157163</xdr:rowOff>
    </xdr:from>
    <xdr:to>
      <xdr:col>2</xdr:col>
      <xdr:colOff>2109787</xdr:colOff>
      <xdr:row>23</xdr:row>
      <xdr:rowOff>109538</xdr:rowOff>
    </xdr:to>
    <xdr:sp macro="[0]!ExportarPDF" textlink="">
      <xdr:nvSpPr>
        <xdr:cNvPr id="7" name="Rectangle 6">
          <a:extLst>
            <a:ext uri="{FF2B5EF4-FFF2-40B4-BE49-F238E27FC236}">
              <a16:creationId xmlns:a16="http://schemas.microsoft.com/office/drawing/2014/main" id="{4B428369-8CC9-460C-25CF-A4C879977C08}"/>
            </a:ext>
          </a:extLst>
        </xdr:cNvPr>
        <xdr:cNvSpPr/>
      </xdr:nvSpPr>
      <xdr:spPr>
        <a:xfrm>
          <a:off x="3681412" y="4005263"/>
          <a:ext cx="914400" cy="3143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/>
            <a:t>PDF</a:t>
          </a:r>
        </a:p>
        <a:p>
          <a:pPr algn="ctr"/>
          <a:endParaRPr lang="pt-P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27"/>
  <sheetViews>
    <sheetView tabSelected="1" workbookViewId="0">
      <selection activeCell="G16" sqref="G16"/>
    </sheetView>
  </sheetViews>
  <sheetFormatPr defaultRowHeight="14.25" x14ac:dyDescent="0.45"/>
  <cols>
    <col min="2" max="2" width="25.73046875" customWidth="1"/>
    <col min="3" max="3" width="35.73046875" customWidth="1"/>
    <col min="6" max="6" width="32.73046875" customWidth="1"/>
    <col min="7" max="7" width="29.19921875" customWidth="1"/>
  </cols>
  <sheetData>
    <row r="2" spans="2:7" ht="18" x14ac:dyDescent="0.55000000000000004">
      <c r="B2" s="1" t="s">
        <v>13</v>
      </c>
    </row>
    <row r="4" spans="2:7" x14ac:dyDescent="0.45">
      <c r="B4" s="2" t="s">
        <v>14</v>
      </c>
      <c r="F4" s="2" t="s">
        <v>21</v>
      </c>
    </row>
    <row r="5" spans="2:7" x14ac:dyDescent="0.45">
      <c r="B5" t="s">
        <v>15</v>
      </c>
      <c r="C5" s="3"/>
      <c r="F5" t="s">
        <v>22</v>
      </c>
      <c r="G5" s="6">
        <v>46136</v>
      </c>
    </row>
    <row r="6" spans="2:7" x14ac:dyDescent="0.45">
      <c r="F6" t="s">
        <v>23</v>
      </c>
      <c r="G6" s="3">
        <f>MAX(Servicos!A:A) + 1</f>
        <v>3</v>
      </c>
    </row>
    <row r="7" spans="2:7" x14ac:dyDescent="0.45">
      <c r="F7" t="s">
        <v>24</v>
      </c>
      <c r="G7" s="3"/>
    </row>
    <row r="8" spans="2:7" x14ac:dyDescent="0.45">
      <c r="B8" s="2" t="s">
        <v>16</v>
      </c>
      <c r="F8" t="s">
        <v>25</v>
      </c>
      <c r="G8" s="3"/>
    </row>
    <row r="9" spans="2:7" x14ac:dyDescent="0.45">
      <c r="B9" t="s">
        <v>17</v>
      </c>
      <c r="C9" s="3"/>
      <c r="F9" t="s">
        <v>19</v>
      </c>
      <c r="G9" t="str">
        <f>IFERROR(VLOOKUP(G8,Veiculos!A:D,3,FALSE),"")</f>
        <v/>
      </c>
    </row>
    <row r="10" spans="2:7" x14ac:dyDescent="0.45">
      <c r="B10" t="s">
        <v>18</v>
      </c>
      <c r="C10" s="3"/>
      <c r="F10" t="s">
        <v>20</v>
      </c>
      <c r="G10" t="str">
        <f>IFERROR(VLOOKUP(G8,Veiculos!A:D,4,FALSE),"")</f>
        <v/>
      </c>
    </row>
    <row r="11" spans="2:7" x14ac:dyDescent="0.45">
      <c r="B11" t="s">
        <v>19</v>
      </c>
      <c r="C11" s="3"/>
      <c r="F11" t="s">
        <v>26</v>
      </c>
      <c r="G11" s="9"/>
    </row>
    <row r="12" spans="2:7" x14ac:dyDescent="0.45">
      <c r="B12" t="s">
        <v>20</v>
      </c>
      <c r="C12" s="3"/>
    </row>
    <row r="13" spans="2:7" x14ac:dyDescent="0.45">
      <c r="F13" s="2" t="s">
        <v>27</v>
      </c>
    </row>
    <row r="14" spans="2:7" x14ac:dyDescent="0.45">
      <c r="B14" s="2"/>
      <c r="F14" s="4" t="s">
        <v>11</v>
      </c>
      <c r="G14" s="4" t="s">
        <v>12</v>
      </c>
    </row>
    <row r="15" spans="2:7" x14ac:dyDescent="0.45">
      <c r="B15" s="2"/>
      <c r="F15" s="3"/>
      <c r="G15" s="7"/>
    </row>
    <row r="16" spans="2:7" x14ac:dyDescent="0.45">
      <c r="F16" s="3"/>
      <c r="G16" s="7"/>
    </row>
    <row r="17" spans="6:7" x14ac:dyDescent="0.45">
      <c r="F17" s="3"/>
      <c r="G17" s="7"/>
    </row>
    <row r="18" spans="6:7" x14ac:dyDescent="0.45">
      <c r="F18" s="3"/>
      <c r="G18" s="7"/>
    </row>
    <row r="19" spans="6:7" x14ac:dyDescent="0.45">
      <c r="F19" s="3"/>
      <c r="G19" s="7"/>
    </row>
    <row r="20" spans="6:7" x14ac:dyDescent="0.45">
      <c r="F20" s="3"/>
      <c r="G20" s="7"/>
    </row>
    <row r="21" spans="6:7" x14ac:dyDescent="0.45">
      <c r="F21" s="3"/>
      <c r="G21" s="7"/>
    </row>
    <row r="22" spans="6:7" x14ac:dyDescent="0.45">
      <c r="F22" s="3"/>
      <c r="G22" s="7"/>
    </row>
    <row r="23" spans="6:7" x14ac:dyDescent="0.45">
      <c r="F23" s="3"/>
      <c r="G23" s="7"/>
    </row>
    <row r="24" spans="6:7" x14ac:dyDescent="0.45">
      <c r="F24" s="3"/>
      <c r="G24" s="7"/>
    </row>
    <row r="25" spans="6:7" x14ac:dyDescent="0.45">
      <c r="F25" s="2" t="s">
        <v>28</v>
      </c>
      <c r="G25" s="8">
        <f>SUM(G15:G24)</f>
        <v>0</v>
      </c>
    </row>
    <row r="27" spans="6:7" x14ac:dyDescent="0.45">
      <c r="F27" s="2"/>
      <c r="G27" s="2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Clientes!$B$2:$B$1000</xm:f>
          </x14:formula1>
          <xm:sqref>C9 G7</xm:sqref>
        </x14:dataValidation>
        <x14:dataValidation type="list" allowBlank="1" showInputMessage="1" showErrorMessage="1" xr:uid="{00000000-0002-0000-0000-000002000000}">
          <x14:formula1>
            <xm:f>Veiculos!$A$2:$A$1000</xm:f>
          </x14:formula1>
          <xm:sqref>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91510-9790-4255-9BF0-91FAA0DFA129}">
  <sheetPr codeName="Sheet6"/>
  <dimension ref="B2:D24"/>
  <sheetViews>
    <sheetView workbookViewId="0">
      <selection activeCell="F6" sqref="F6"/>
    </sheetView>
  </sheetViews>
  <sheetFormatPr defaultRowHeight="14.25" x14ac:dyDescent="0.45"/>
  <cols>
    <col min="1" max="1" width="2.73046875" customWidth="1"/>
    <col min="2" max="2" width="32.19921875" customWidth="1"/>
    <col min="3" max="3" width="24.1328125" customWidth="1"/>
    <col min="4" max="4" width="8.796875" customWidth="1"/>
  </cols>
  <sheetData>
    <row r="2" spans="2:4" x14ac:dyDescent="0.45">
      <c r="B2" s="15" t="s">
        <v>29</v>
      </c>
      <c r="C2" s="15"/>
      <c r="D2" s="15"/>
    </row>
    <row r="3" spans="2:4" x14ac:dyDescent="0.45">
      <c r="B3" s="15"/>
      <c r="C3" s="15"/>
      <c r="D3" s="15"/>
    </row>
    <row r="5" spans="2:4" ht="16.5" x14ac:dyDescent="0.6">
      <c r="B5" s="17" t="s">
        <v>24</v>
      </c>
      <c r="C5" s="18">
        <f>Painel_Principal!G7</f>
        <v>0</v>
      </c>
    </row>
    <row r="6" spans="2:4" ht="16.5" x14ac:dyDescent="0.6">
      <c r="B6" s="17" t="s">
        <v>22</v>
      </c>
      <c r="C6" s="19">
        <f>Painel_Principal!G5</f>
        <v>46136</v>
      </c>
    </row>
    <row r="7" spans="2:4" ht="16.5" x14ac:dyDescent="0.6">
      <c r="B7" s="17" t="s">
        <v>30</v>
      </c>
      <c r="C7" s="18">
        <f>Painel_Principal!G8</f>
        <v>0</v>
      </c>
    </row>
    <row r="8" spans="2:4" ht="16.5" x14ac:dyDescent="0.6">
      <c r="B8" s="17" t="s">
        <v>19</v>
      </c>
      <c r="C8" s="18" t="str">
        <f>Painel_Principal!G9</f>
        <v/>
      </c>
    </row>
    <row r="9" spans="2:4" ht="16.5" x14ac:dyDescent="0.6">
      <c r="B9" s="17" t="s">
        <v>20</v>
      </c>
      <c r="C9" s="18" t="str">
        <f>Painel_Principal!G10</f>
        <v/>
      </c>
    </row>
    <row r="10" spans="2:4" ht="16.5" x14ac:dyDescent="0.6">
      <c r="B10" s="17" t="s">
        <v>31</v>
      </c>
      <c r="C10" s="20">
        <f>Painel_Principal!G11</f>
        <v>0</v>
      </c>
    </row>
    <row r="12" spans="2:4" x14ac:dyDescent="0.45">
      <c r="B12" s="10" t="s">
        <v>32</v>
      </c>
      <c r="C12" s="16" t="s">
        <v>33</v>
      </c>
      <c r="D12" s="16"/>
    </row>
    <row r="13" spans="2:4" ht="16.5" x14ac:dyDescent="0.6">
      <c r="B13" s="11" t="str">
        <f>IF(Painel_Principal!F15&lt;&gt;"", Painel_Principal!F15, "")</f>
        <v/>
      </c>
      <c r="C13" s="14" t="str">
        <f>IF(Painel_Principal!G15&lt;&gt;"", Painel_Principal!G15, "")</f>
        <v/>
      </c>
      <c r="D13" s="14"/>
    </row>
    <row r="14" spans="2:4" ht="16.5" x14ac:dyDescent="0.6">
      <c r="B14" s="11" t="str">
        <f>IF(Painel_Principal!F16&lt;&gt;"", Painel_Principal!F16, "")</f>
        <v/>
      </c>
      <c r="C14" s="14" t="str">
        <f>IF(Painel_Principal!G16&lt;&gt;"", Painel_Principal!G16, "")</f>
        <v/>
      </c>
      <c r="D14" s="14"/>
    </row>
    <row r="15" spans="2:4" ht="16.5" x14ac:dyDescent="0.6">
      <c r="B15" s="11" t="str">
        <f>IF(Painel_Principal!F17&lt;&gt;"", Painel_Principal!F17, "")</f>
        <v/>
      </c>
      <c r="C15" s="14" t="str">
        <f>IF(Painel_Principal!G17&lt;&gt;"", Painel_Principal!G17, "")</f>
        <v/>
      </c>
      <c r="D15" s="14"/>
    </row>
    <row r="16" spans="2:4" ht="16.5" x14ac:dyDescent="0.6">
      <c r="B16" s="11" t="str">
        <f>IF(Painel_Principal!F18&lt;&gt;"", Painel_Principal!F18, "")</f>
        <v/>
      </c>
      <c r="C16" s="14" t="str">
        <f>IF(Painel_Principal!G18&lt;&gt;"", Painel_Principal!G18, "")</f>
        <v/>
      </c>
      <c r="D16" s="14"/>
    </row>
    <row r="17" spans="2:4" ht="16.5" x14ac:dyDescent="0.6">
      <c r="B17" s="11" t="str">
        <f>IF(Painel_Principal!F19&lt;&gt;"", Painel_Principal!F19, "")</f>
        <v/>
      </c>
      <c r="C17" s="14" t="str">
        <f>IF(Painel_Principal!G19&lt;&gt;"", Painel_Principal!G19, "")</f>
        <v/>
      </c>
      <c r="D17" s="14"/>
    </row>
    <row r="18" spans="2:4" ht="16.5" x14ac:dyDescent="0.6">
      <c r="B18" s="11" t="str">
        <f>IF(Painel_Principal!F20&lt;&gt;"", Painel_Principal!F20, "")</f>
        <v/>
      </c>
      <c r="C18" s="14" t="str">
        <f>IF(Painel_Principal!G20&lt;&gt;"", Painel_Principal!G20, "")</f>
        <v/>
      </c>
      <c r="D18" s="14"/>
    </row>
    <row r="19" spans="2:4" ht="16.5" x14ac:dyDescent="0.6">
      <c r="B19" s="11" t="str">
        <f>IF(Painel_Principal!F21&lt;&gt;"", Painel_Principal!F21, "")</f>
        <v/>
      </c>
      <c r="C19" s="14" t="str">
        <f>IF(Painel_Principal!G21&lt;&gt;"", Painel_Principal!G21, "")</f>
        <v/>
      </c>
      <c r="D19" s="14"/>
    </row>
    <row r="20" spans="2:4" ht="16.5" x14ac:dyDescent="0.6">
      <c r="B20" s="11" t="str">
        <f>IF(Painel_Principal!F22&lt;&gt;"", Painel_Principal!F22, "")</f>
        <v/>
      </c>
      <c r="C20" s="14" t="str">
        <f>IF(Painel_Principal!G22&lt;&gt;"", Painel_Principal!G22, "")</f>
        <v/>
      </c>
      <c r="D20" s="14"/>
    </row>
    <row r="21" spans="2:4" ht="16.5" x14ac:dyDescent="0.6">
      <c r="B21" s="11" t="str">
        <f>IF(Painel_Principal!F23&lt;&gt;"", Painel_Principal!F23, "")</f>
        <v/>
      </c>
      <c r="C21" s="14" t="str">
        <f>IF(Painel_Principal!G23&lt;&gt;"", Painel_Principal!G23, "")</f>
        <v/>
      </c>
      <c r="D21" s="14"/>
    </row>
    <row r="22" spans="2:4" ht="16.5" x14ac:dyDescent="0.6">
      <c r="B22" s="11" t="str">
        <f>IF(Painel_Principal!F24&lt;&gt;"", Painel_Principal!F24, "")</f>
        <v/>
      </c>
      <c r="C22" s="14" t="str">
        <f>IF(Painel_Principal!G24&lt;&gt;"", Painel_Principal!G24, "")</f>
        <v/>
      </c>
      <c r="D22" s="14"/>
    </row>
    <row r="24" spans="2:4" ht="18.75" x14ac:dyDescent="0.7">
      <c r="B24" s="12" t="s">
        <v>34</v>
      </c>
      <c r="C24" s="13">
        <f>SUM(C13:C22)</f>
        <v>0</v>
      </c>
      <c r="D24" s="13"/>
    </row>
  </sheetData>
  <mergeCells count="13">
    <mergeCell ref="C16:D16"/>
    <mergeCell ref="B2:D3"/>
    <mergeCell ref="C12:D12"/>
    <mergeCell ref="C13:D13"/>
    <mergeCell ref="C14:D14"/>
    <mergeCell ref="C15:D15"/>
    <mergeCell ref="C24:D24"/>
    <mergeCell ref="C17:D17"/>
    <mergeCell ref="C18:D18"/>
    <mergeCell ref="C19:D19"/>
    <mergeCell ref="C20:D20"/>
    <mergeCell ref="C21:D21"/>
    <mergeCell ref="C22:D22"/>
  </mergeCells>
  <pageMargins left="0.5" right="0.5" top="0.5" bottom="0.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"/>
  <sheetViews>
    <sheetView workbookViewId="0">
      <selection activeCell="A2" sqref="A2:B4"/>
    </sheetView>
  </sheetViews>
  <sheetFormatPr defaultRowHeight="14.25" x14ac:dyDescent="0.45"/>
  <sheetData>
    <row r="1" spans="1:2" x14ac:dyDescent="0.45">
      <c r="A1" s="4" t="s">
        <v>0</v>
      </c>
      <c r="B1" s="4" t="s">
        <v>1</v>
      </c>
    </row>
    <row r="2" spans="1:2" x14ac:dyDescent="0.45">
      <c r="A2">
        <v>1</v>
      </c>
      <c r="B2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"/>
  <sheetViews>
    <sheetView workbookViewId="0">
      <selection activeCell="A2" sqref="A2:D2"/>
    </sheetView>
  </sheetViews>
  <sheetFormatPr defaultRowHeight="14.25" x14ac:dyDescent="0.45"/>
  <sheetData>
    <row r="1" spans="1:4" x14ac:dyDescent="0.45">
      <c r="A1" s="4" t="s">
        <v>2</v>
      </c>
      <c r="B1" s="4" t="s">
        <v>3</v>
      </c>
      <c r="C1" s="4" t="s">
        <v>4</v>
      </c>
      <c r="D1" s="4" t="s">
        <v>5</v>
      </c>
    </row>
    <row r="2" spans="1:4" x14ac:dyDescent="0.45">
      <c r="A2" t="s">
        <v>36</v>
      </c>
      <c r="B2" t="s">
        <v>35</v>
      </c>
      <c r="C2" t="s">
        <v>37</v>
      </c>
      <c r="D2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>
      <selection activeCell="A2" sqref="A2:E2"/>
    </sheetView>
  </sheetViews>
  <sheetFormatPr defaultRowHeight="14.25" x14ac:dyDescent="0.45"/>
  <sheetData>
    <row r="1" spans="1:5" x14ac:dyDescent="0.45">
      <c r="A1" s="4" t="s">
        <v>6</v>
      </c>
      <c r="B1" s="4" t="s">
        <v>2</v>
      </c>
      <c r="C1" s="4" t="s">
        <v>7</v>
      </c>
      <c r="D1" s="4" t="s">
        <v>8</v>
      </c>
      <c r="E1" s="4" t="s">
        <v>9</v>
      </c>
    </row>
    <row r="2" spans="1:5" x14ac:dyDescent="0.45">
      <c r="A2">
        <v>1</v>
      </c>
      <c r="B2" t="s">
        <v>36</v>
      </c>
      <c r="C2" s="5">
        <v>46135</v>
      </c>
      <c r="D2">
        <v>67000</v>
      </c>
      <c r="E2">
        <v>70</v>
      </c>
    </row>
    <row r="3" spans="1:5" x14ac:dyDescent="0.45">
      <c r="A3">
        <v>2</v>
      </c>
      <c r="B3" t="s">
        <v>36</v>
      </c>
      <c r="C3" s="5">
        <v>46136</v>
      </c>
      <c r="D3">
        <v>45677</v>
      </c>
      <c r="E3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4"/>
  <sheetViews>
    <sheetView workbookViewId="0">
      <selection activeCell="D5" sqref="D5"/>
    </sheetView>
  </sheetViews>
  <sheetFormatPr defaultRowHeight="14.25" x14ac:dyDescent="0.45"/>
  <sheetData>
    <row r="1" spans="1:4" x14ac:dyDescent="0.45">
      <c r="A1" s="4" t="s">
        <v>10</v>
      </c>
      <c r="B1" s="4" t="s">
        <v>6</v>
      </c>
      <c r="C1" s="4" t="s">
        <v>11</v>
      </c>
      <c r="D1" s="4" t="s">
        <v>12</v>
      </c>
    </row>
    <row r="2" spans="1:4" x14ac:dyDescent="0.45">
      <c r="A2">
        <v>1</v>
      </c>
      <c r="B2">
        <v>1</v>
      </c>
      <c r="C2" t="s">
        <v>39</v>
      </c>
      <c r="D2">
        <v>50</v>
      </c>
    </row>
    <row r="3" spans="1:4" x14ac:dyDescent="0.45">
      <c r="A3">
        <v>2</v>
      </c>
      <c r="B3">
        <v>1</v>
      </c>
      <c r="C3" t="s">
        <v>40</v>
      </c>
      <c r="D3">
        <v>20</v>
      </c>
    </row>
    <row r="4" spans="1:4" x14ac:dyDescent="0.45">
      <c r="A4">
        <v>3</v>
      </c>
      <c r="B4">
        <v>2</v>
      </c>
      <c r="C4" t="s">
        <v>40</v>
      </c>
      <c r="D4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Painel_Principal</vt:lpstr>
      <vt:lpstr>Template_PDF</vt:lpstr>
      <vt:lpstr>Clientes</vt:lpstr>
      <vt:lpstr>Veiculos</vt:lpstr>
      <vt:lpstr>Servicos</vt:lpstr>
      <vt:lpstr>ItensServico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Eduardo Freitas Fernandes</cp:lastModifiedBy>
  <cp:lastPrinted>2026-04-24T18:41:30Z</cp:lastPrinted>
  <dcterms:created xsi:type="dcterms:W3CDTF">2026-04-23T11:04:42Z</dcterms:created>
  <dcterms:modified xsi:type="dcterms:W3CDTF">2026-04-24T18:49:01Z</dcterms:modified>
</cp:coreProperties>
</file>